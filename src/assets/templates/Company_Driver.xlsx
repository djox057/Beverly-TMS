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</sheets>
  <definedNames/>
  <calcPr/>
</workbook>
</file>

<file path=xl/sharedStrings.xml><?xml version="1.0" encoding="utf-8"?>
<sst xmlns="http://schemas.openxmlformats.org/spreadsheetml/2006/main" count="95" uniqueCount="50">
  <si>
    <t xml:space="preserve">Statement # </t>
  </si>
  <si>
    <t xml:space="preserve">pay/mile </t>
  </si>
  <si>
    <t xml:space="preserve">Date: </t>
  </si>
  <si>
    <t xml:space="preserve">Unit#  </t>
  </si>
  <si>
    <t>Company:</t>
  </si>
  <si>
    <t>Driver:</t>
  </si>
  <si>
    <t>Trips:</t>
  </si>
  <si>
    <t>Trip No.</t>
  </si>
  <si>
    <t xml:space="preserve">Pick UP Date </t>
  </si>
  <si>
    <t>Pick Up Location</t>
  </si>
  <si>
    <t>Delivery Date</t>
  </si>
  <si>
    <t>Delivery Location</t>
  </si>
  <si>
    <t>Total Miles</t>
  </si>
  <si>
    <t>pay/mile =</t>
  </si>
  <si>
    <t>Total</t>
  </si>
  <si>
    <t>Credits:</t>
  </si>
  <si>
    <t>Description</t>
  </si>
  <si>
    <t>Date</t>
  </si>
  <si>
    <t xml:space="preserve">Amount </t>
  </si>
  <si>
    <t>Total:</t>
  </si>
  <si>
    <t>Scheduled Deductions:</t>
  </si>
  <si>
    <t>Fuel:</t>
  </si>
  <si>
    <t>Transaction #</t>
  </si>
  <si>
    <t>Location Name</t>
  </si>
  <si>
    <t>State</t>
  </si>
  <si>
    <t>City</t>
  </si>
  <si>
    <t>Fees</t>
  </si>
  <si>
    <t>Item</t>
  </si>
  <si>
    <t xml:space="preserve"> Price</t>
  </si>
  <si>
    <t>Qty</t>
  </si>
  <si>
    <t xml:space="preserve">Check   Amount   </t>
  </si>
  <si>
    <t>$0.70/mile</t>
  </si>
  <si>
    <t>1/22/26</t>
  </si>
  <si>
    <t>716</t>
  </si>
  <si>
    <t/>
  </si>
  <si>
    <t>Levarr Hart</t>
  </si>
  <si>
    <t>1/6/2026-1/12/2026</t>
  </si>
  <si>
    <t>5153-BFP</t>
  </si>
  <si>
    <t>12/31/2025</t>
  </si>
  <si>
    <t>Erlanger</t>
  </si>
  <si>
    <t>KY</t>
  </si>
  <si>
    <t>01/06/2026</t>
  </si>
  <si>
    <t>University Park</t>
  </si>
  <si>
    <t>IL</t>
  </si>
  <si>
    <t>5826-BFU</t>
  </si>
  <si>
    <t>01/08/2026</t>
  </si>
  <si>
    <t>Montgomery</t>
  </si>
  <si>
    <t>AL</t>
  </si>
  <si>
    <t>01/09/2026</t>
  </si>
  <si>
    <t>Danville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</si>
</sst>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&quot;$&quot;* #,##0.00_);_(&quot;$&quot;* \(#,##0.00\);_(&quot;$&quot;* &quot;-&quot;??_);_(@_)"/>
    <numFmt numFmtId="165" formatCode="[$-F400]h:mm:ss\ AM/PM"/>
    <numFmt numFmtId="166" formatCode="&quot;$&quot;#,##0.00_);[Red]\(&quot;$&quot;#,##0.00\)"/>
    <numFmt numFmtId="167" formatCode="&quot;$&quot;#,##0_);[Red]\(&quot;$&quot;#,##0\)"/>
    <numFmt numFmtId="168" formatCode="#,##0.000"/>
    <numFmt numFmtId="169" formatCode="_(&quot;$&quot;* #,##0.00_);_(&quot;$&quot;* (#,##0.00);_(&quot;$&quot;* &quot;-&quot;??_);_(@_)"/>
    <numFmt numFmtId="170" formatCode="[$-F400]h:mm:ss AM/PM"/>
    <numFmt numFmtId="171" formatCode="&quot;$&quot;#,##0.00_);[Red](&quot;$&quot;#,##0.00)"/>
    <numFmt numFmtId="172" formatCode="&quot;$&quot;#,##0_);[Red](&quot;$&quot;#,##0)"/>
  </numFmts>
  <fonts count="16">
    <font>
      <sz val="11.0"/>
      <color theme="1"/>
      <name val="Arial"/>
      <scheme val="minor"/>
    </font>
    <font>
      <sz val="16.0"/>
      <color theme="1"/>
      <name val="Calibri"/>
    </font>
    <font>
      <b/>
      <sz val="16.0"/>
      <color theme="1"/>
      <name val="Calibri"/>
    </font>
    <font>
      <sz val="16.0"/>
      <color theme="1"/>
      <name val="Arial"/>
    </font>
    <font>
      <b/>
      <sz val="14.0"/>
      <color rgb="FF000000"/>
      <name val="Tahoma"/>
    </font>
    <font/>
    <font>
      <sz val="14.0"/>
      <color theme="1"/>
      <name val="Calibri"/>
    </font>
    <font>
      <sz val="14.0"/>
      <color theme="1"/>
      <name val="Arial"/>
    </font>
    <font>
      <b/>
      <sz val="16.0"/>
      <color rgb="FFFF0000"/>
      <name val="Calibri"/>
    </font>
    <font>
      <b/>
      <sz val="16.0"/>
      <color rgb="FF548135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i/>
      <sz val="18.0"/>
      <color rgb="FF548135"/>
      <name val="Calibri"/>
    </font>
    <font>
      <b/>
      <sz val="16.0"/>
      <color rgb="FFE36C09"/>
      <name val="Calibri"/>
    </font>
    <font>
      <b/>
      <i/>
      <sz val="18.0"/>
      <color rgb="FFE36C09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2" fontId="1" numFmtId="164" xfId="0" applyAlignment="1" applyBorder="1" applyFill="1" applyFont="1" applyNumberFormat="1">
      <alignment horizontal="left"/>
    </xf>
    <xf borderId="5" fillId="2" fontId="1" numFmtId="164" xfId="0" applyAlignment="1" applyBorder="1" applyFont="1" applyNumberFormat="1">
      <alignment horizontal="left" readingOrder="0"/>
    </xf>
    <xf borderId="1" fillId="0" fontId="1" numFmtId="14" xfId="0" applyAlignment="1" applyBorder="1" applyFont="1" applyNumberFormat="1">
      <alignment horizontal="left"/>
    </xf>
    <xf borderId="2" fillId="0" fontId="1" numFmtId="14" xfId="0" applyAlignment="1" applyBorder="1" applyFont="1" applyNumberFormat="1">
      <alignment horizontal="left"/>
    </xf>
    <xf borderId="3" fillId="0" fontId="1" numFmtId="14" xfId="0" applyAlignment="1" applyBorder="1" applyFont="1" applyNumberFormat="1">
      <alignment horizontal="left"/>
    </xf>
    <xf borderId="6" fillId="0" fontId="1" numFmtId="0" xfId="0" applyAlignment="1" applyBorder="1" applyFont="1">
      <alignment horizontal="left"/>
    </xf>
    <xf borderId="7" fillId="0" fontId="1" numFmtId="164" xfId="0" applyAlignment="1" applyBorder="1" applyFont="1" applyNumberFormat="1">
      <alignment horizontal="left"/>
    </xf>
    <xf borderId="8" fillId="0" fontId="1" numFmtId="0" xfId="0" applyAlignment="1" applyBorder="1" applyFont="1">
      <alignment horizontal="left"/>
    </xf>
    <xf borderId="8" fillId="0" fontId="1" numFmtId="164" xfId="0" applyAlignment="1" applyBorder="1" applyFont="1" applyNumberFormat="1">
      <alignment horizontal="left"/>
    </xf>
    <xf borderId="9" fillId="0" fontId="2" numFmtId="0" xfId="0" applyBorder="1" applyFont="1"/>
    <xf borderId="10" fillId="0" fontId="1" numFmtId="164" xfId="0" applyAlignment="1" applyBorder="1" applyFont="1" applyNumberFormat="1">
      <alignment horizontal="left"/>
    </xf>
    <xf borderId="11" fillId="0" fontId="1" numFmtId="0" xfId="0" applyAlignment="1" applyBorder="1" applyFont="1">
      <alignment horizontal="left"/>
    </xf>
    <xf borderId="9" fillId="0" fontId="3" numFmtId="0" xfId="0" applyBorder="1" applyFont="1"/>
    <xf borderId="11" fillId="0" fontId="1" numFmtId="164" xfId="0" applyAlignment="1" applyBorder="1" applyFont="1" applyNumberFormat="1">
      <alignment horizontal="left"/>
    </xf>
    <xf borderId="12" fillId="3" fontId="2" numFmtId="0" xfId="0" applyAlignment="1" applyBorder="1" applyFill="1" applyFont="1">
      <alignment horizontal="left"/>
    </xf>
    <xf borderId="13" fillId="3" fontId="2" numFmtId="14" xfId="0" applyAlignment="1" applyBorder="1" applyFont="1" applyNumberFormat="1">
      <alignment horizontal="left"/>
    </xf>
    <xf borderId="13" fillId="3" fontId="1" numFmtId="165" xfId="0" applyAlignment="1" applyBorder="1" applyFont="1" applyNumberFormat="1">
      <alignment horizontal="left"/>
    </xf>
    <xf borderId="14" fillId="3" fontId="1" numFmtId="0" xfId="0" applyAlignment="1" applyBorder="1" applyFont="1">
      <alignment horizontal="left"/>
    </xf>
    <xf borderId="15" fillId="4" fontId="1" numFmtId="0" xfId="0" applyAlignment="1" applyBorder="1" applyFill="1" applyFont="1">
      <alignment horizontal="left"/>
    </xf>
    <xf borderId="12" fillId="5" fontId="4" numFmtId="0" xfId="0" applyAlignment="1" applyBorder="1" applyFill="1" applyFont="1">
      <alignment horizontal="left" shrinkToFit="0" vertical="center" wrapText="1"/>
    </xf>
    <xf borderId="16" fillId="5" fontId="4" numFmtId="0" xfId="0" applyAlignment="1" applyBorder="1" applyFont="1">
      <alignment horizontal="left" shrinkToFit="0" vertical="center" wrapText="1"/>
    </xf>
    <xf borderId="17" fillId="0" fontId="5" numFmtId="0" xfId="0" applyBorder="1" applyFont="1"/>
    <xf borderId="14" fillId="5" fontId="4" numFmtId="0" xfId="0" applyAlignment="1" applyBorder="1" applyFont="1">
      <alignment horizontal="left" shrinkToFit="0" vertical="center" wrapText="1"/>
    </xf>
    <xf borderId="13" fillId="5" fontId="4" numFmtId="0" xfId="0" applyAlignment="1" applyBorder="1" applyFont="1">
      <alignment horizontal="center" shrinkToFit="0" vertical="center" wrapText="1"/>
    </xf>
    <xf borderId="13" fillId="5" fontId="4" numFmtId="164" xfId="0" applyAlignment="1" applyBorder="1" applyFont="1" applyNumberFormat="1">
      <alignment horizontal="center" shrinkToFit="0" vertical="center" wrapText="1"/>
    </xf>
    <xf borderId="14" fillId="5" fontId="4" numFmtId="164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horizontal="left"/>
    </xf>
    <xf borderId="18" fillId="0" fontId="1" numFmtId="0" xfId="0" applyAlignment="1" applyBorder="1" applyFont="1">
      <alignment horizontal="left"/>
    </xf>
    <xf borderId="19" fillId="4" fontId="7" numFmtId="14" xfId="0" applyAlignment="1" applyBorder="1" applyFont="1" applyNumberFormat="1">
      <alignment shrinkToFit="0" vertical="top" wrapText="1"/>
    </xf>
    <xf borderId="20" fillId="4" fontId="7" numFmtId="0" xfId="0" applyAlignment="1" applyBorder="1" applyFont="1">
      <alignment shrinkToFit="0" vertical="top" wrapText="1"/>
    </xf>
    <xf borderId="21" fillId="4" fontId="7" numFmtId="0" xfId="0" applyAlignment="1" applyBorder="1" applyFont="1">
      <alignment shrinkToFit="0" vertical="top" wrapText="1"/>
    </xf>
    <xf borderId="22" fillId="0" fontId="1" numFmtId="14" xfId="0" applyAlignment="1" applyBorder="1" applyFont="1" applyNumberFormat="1">
      <alignment horizontal="left"/>
    </xf>
    <xf borderId="20" fillId="0" fontId="1" numFmtId="14" xfId="0" applyAlignment="1" applyBorder="1" applyFont="1" applyNumberFormat="1">
      <alignment horizontal="left"/>
    </xf>
    <xf borderId="23" fillId="0" fontId="1" numFmtId="0" xfId="0" applyAlignment="1" applyBorder="1" applyFont="1">
      <alignment horizontal="left"/>
    </xf>
    <xf borderId="24" fillId="0" fontId="1" numFmtId="3" xfId="0" applyAlignment="1" applyBorder="1" applyFont="1" applyNumberFormat="1">
      <alignment horizontal="left"/>
    </xf>
    <xf borderId="25" fillId="0" fontId="1" numFmtId="166" xfId="0" applyAlignment="1" applyBorder="1" applyFont="1" applyNumberFormat="1">
      <alignment horizontal="left"/>
    </xf>
    <xf borderId="18" fillId="0" fontId="1" numFmtId="3" xfId="0" applyAlignment="1" applyBorder="1" applyFont="1" applyNumberFormat="1">
      <alignment horizontal="left"/>
    </xf>
    <xf borderId="26" fillId="0" fontId="1" numFmtId="0" xfId="0" applyAlignment="1" applyBorder="1" applyFont="1">
      <alignment horizontal="left"/>
    </xf>
    <xf borderId="27" fillId="4" fontId="7" numFmtId="14" xfId="0" applyAlignment="1" applyBorder="1" applyFont="1" applyNumberFormat="1">
      <alignment shrinkToFit="0" vertical="top" wrapText="1"/>
    </xf>
    <xf borderId="28" fillId="4" fontId="7" numFmtId="0" xfId="0" applyAlignment="1" applyBorder="1" applyFont="1">
      <alignment shrinkToFit="0" vertical="top" wrapText="1"/>
    </xf>
    <xf borderId="29" fillId="4" fontId="7" numFmtId="0" xfId="0" applyAlignment="1" applyBorder="1" applyFont="1">
      <alignment shrinkToFit="0" vertical="top" wrapText="1"/>
    </xf>
    <xf borderId="30" fillId="0" fontId="1" numFmtId="14" xfId="0" applyAlignment="1" applyBorder="1" applyFont="1" applyNumberFormat="1">
      <alignment horizontal="left"/>
    </xf>
    <xf borderId="28" fillId="0" fontId="1" numFmtId="14" xfId="0" applyAlignment="1" applyBorder="1" applyFont="1" applyNumberFormat="1">
      <alignment horizontal="left"/>
    </xf>
    <xf borderId="31" fillId="0" fontId="1" numFmtId="0" xfId="0" applyAlignment="1" applyBorder="1" applyFont="1">
      <alignment horizontal="left"/>
    </xf>
    <xf borderId="32" fillId="0" fontId="1" numFmtId="3" xfId="0" applyAlignment="1" applyBorder="1" applyFont="1" applyNumberFormat="1">
      <alignment horizontal="left"/>
    </xf>
    <xf borderId="33" fillId="0" fontId="1" numFmtId="166" xfId="0" applyAlignment="1" applyBorder="1" applyFont="1" applyNumberFormat="1">
      <alignment horizontal="left"/>
    </xf>
    <xf borderId="26" fillId="0" fontId="1" numFmtId="3" xfId="0" applyAlignment="1" applyBorder="1" applyFont="1" applyNumberFormat="1">
      <alignment horizontal="left"/>
    </xf>
    <xf borderId="0" fillId="0" fontId="2" numFmtId="166" xfId="0" applyAlignment="1" applyFont="1" applyNumberFormat="1">
      <alignment horizontal="left"/>
    </xf>
    <xf borderId="34" fillId="0" fontId="2" numFmtId="3" xfId="0" applyAlignment="1" applyBorder="1" applyFont="1" applyNumberFormat="1">
      <alignment horizontal="left"/>
    </xf>
    <xf borderId="0" fillId="0" fontId="8" numFmtId="164" xfId="0" applyAlignment="1" applyFont="1" applyNumberFormat="1">
      <alignment horizontal="left"/>
    </xf>
    <xf borderId="12" fillId="4" fontId="1" numFmtId="164" xfId="0" applyAlignment="1" applyBorder="1" applyFont="1" applyNumberFormat="1">
      <alignment horizontal="left"/>
    </xf>
    <xf borderId="14" fillId="4" fontId="1" numFmtId="164" xfId="0" applyAlignment="1" applyBorder="1" applyFont="1" applyNumberFormat="1">
      <alignment horizontal="left"/>
    </xf>
    <xf borderId="16" fillId="0" fontId="1" numFmtId="164" xfId="0" applyAlignment="1" applyBorder="1" applyFont="1" applyNumberFormat="1">
      <alignment horizontal="left"/>
    </xf>
    <xf borderId="17" fillId="0" fontId="8" numFmtId="164" xfId="0" applyAlignment="1" applyBorder="1" applyFont="1" applyNumberFormat="1">
      <alignment horizontal="left"/>
    </xf>
    <xf borderId="14" fillId="3" fontId="2" numFmtId="0" xfId="0" applyAlignment="1" applyBorder="1" applyFont="1">
      <alignment horizontal="left"/>
    </xf>
    <xf borderId="35" fillId="5" fontId="1" numFmtId="0" xfId="0" applyAlignment="1" applyBorder="1" applyFont="1">
      <alignment horizontal="left"/>
    </xf>
    <xf borderId="36" fillId="5" fontId="1" numFmtId="0" xfId="0" applyAlignment="1" applyBorder="1" applyFont="1">
      <alignment horizontal="left"/>
    </xf>
    <xf borderId="36" fillId="5" fontId="2" numFmtId="0" xfId="0" applyAlignment="1" applyBorder="1" applyFont="1">
      <alignment horizontal="left"/>
    </xf>
    <xf borderId="37" fillId="5" fontId="1" numFmtId="0" xfId="0" applyAlignment="1" applyBorder="1" applyFont="1">
      <alignment horizontal="left"/>
    </xf>
    <xf borderId="38" fillId="5" fontId="2" numFmtId="164" xfId="0" applyAlignment="1" applyBorder="1" applyFont="1" applyNumberFormat="1">
      <alignment horizontal="left"/>
    </xf>
    <xf borderId="4" fillId="4" fontId="1" numFmtId="0" xfId="0" applyAlignment="1" applyBorder="1" applyFont="1">
      <alignment horizontal="left"/>
    </xf>
    <xf borderId="39" fillId="4" fontId="1" numFmtId="0" xfId="0" applyAlignment="1" applyBorder="1" applyFont="1">
      <alignment horizontal="left"/>
    </xf>
    <xf borderId="39" fillId="4" fontId="2" numFmtId="0" xfId="0" applyAlignment="1" applyBorder="1" applyFont="1">
      <alignment horizontal="left"/>
    </xf>
    <xf borderId="5" fillId="4" fontId="1" numFmtId="0" xfId="0" applyAlignment="1" applyBorder="1" applyFont="1">
      <alignment horizontal="left"/>
    </xf>
    <xf borderId="40" fillId="4" fontId="1" numFmtId="164" xfId="0" applyAlignment="1" applyBorder="1" applyFont="1" applyNumberFormat="1">
      <alignment horizontal="left"/>
    </xf>
    <xf borderId="5" fillId="4" fontId="1" numFmtId="164" xfId="0" applyAlignment="1" applyBorder="1" applyFont="1" applyNumberFormat="1">
      <alignment horizontal="left"/>
    </xf>
    <xf borderId="40" fillId="0" fontId="1" numFmtId="14" xfId="0" applyAlignment="1" applyBorder="1" applyFont="1" applyNumberFormat="1">
      <alignment horizontal="left"/>
    </xf>
    <xf borderId="3" fillId="0" fontId="1" numFmtId="164" xfId="0" applyAlignment="1" applyBorder="1" applyFont="1" applyNumberFormat="1">
      <alignment horizontal="left"/>
    </xf>
    <xf borderId="41" fillId="0" fontId="1" numFmtId="0" xfId="0" applyAlignment="1" applyBorder="1" applyFont="1">
      <alignment horizontal="left"/>
    </xf>
    <xf borderId="34" fillId="0" fontId="9" numFmtId="164" xfId="0" applyAlignment="1" applyBorder="1" applyFont="1" applyNumberFormat="1">
      <alignment horizontal="left"/>
    </xf>
    <xf borderId="15" fillId="4" fontId="2" numFmtId="0" xfId="0" applyAlignment="1" applyBorder="1" applyFont="1">
      <alignment horizontal="left"/>
    </xf>
    <xf borderId="12" fillId="5" fontId="1" numFmtId="0" xfId="0" applyAlignment="1" applyBorder="1" applyFont="1">
      <alignment horizontal="left"/>
    </xf>
    <xf borderId="13" fillId="5" fontId="1" numFmtId="0" xfId="0" applyAlignment="1" applyBorder="1" applyFont="1">
      <alignment horizontal="left"/>
    </xf>
    <xf borderId="13" fillId="5" fontId="2" numFmtId="0" xfId="0" applyAlignment="1" applyBorder="1" applyFont="1">
      <alignment horizontal="left"/>
    </xf>
    <xf borderId="14" fillId="5" fontId="1" numFmtId="0" xfId="0" applyAlignment="1" applyBorder="1" applyFont="1">
      <alignment horizontal="left"/>
    </xf>
    <xf borderId="42" fillId="5" fontId="2" numFmtId="164" xfId="0" applyAlignment="1" applyBorder="1" applyFont="1" applyNumberFormat="1">
      <alignment horizontal="left"/>
    </xf>
    <xf borderId="43" fillId="4" fontId="1" numFmtId="0" xfId="0" applyAlignment="1" applyBorder="1" applyFont="1">
      <alignment horizontal="left"/>
    </xf>
    <xf borderId="44" fillId="4" fontId="6" numFmtId="0" xfId="0" applyAlignment="1" applyBorder="1" applyFont="1">
      <alignment horizontal="left"/>
    </xf>
    <xf borderId="44" fillId="4" fontId="1" numFmtId="0" xfId="0" applyAlignment="1" applyBorder="1" applyFont="1">
      <alignment horizontal="left"/>
    </xf>
    <xf borderId="45" fillId="4" fontId="10" numFmtId="164" xfId="0" applyAlignment="1" applyBorder="1" applyFont="1" applyNumberFormat="1">
      <alignment horizontal="left"/>
    </xf>
    <xf borderId="46" fillId="0" fontId="1" numFmtId="14" xfId="0" applyAlignment="1" applyBorder="1" applyFont="1" applyNumberFormat="1">
      <alignment horizontal="left"/>
    </xf>
    <xf borderId="46" fillId="0" fontId="1" numFmtId="164" xfId="0" applyAlignment="1" applyBorder="1" applyFont="1" applyNumberFormat="1">
      <alignment horizontal="left"/>
    </xf>
    <xf borderId="45" fillId="4" fontId="2" numFmtId="167" xfId="0" applyAlignment="1" applyBorder="1" applyFont="1" applyNumberFormat="1">
      <alignment horizontal="left"/>
    </xf>
    <xf borderId="45" fillId="4" fontId="2" numFmtId="164" xfId="0" applyAlignment="1" applyBorder="1" applyFont="1" applyNumberFormat="1">
      <alignment horizontal="left"/>
    </xf>
    <xf borderId="16" fillId="0" fontId="8" numFmtId="164" xfId="0" applyAlignment="1" applyBorder="1" applyFont="1" applyNumberFormat="1">
      <alignment horizontal="left"/>
    </xf>
    <xf borderId="42" fillId="0" fontId="8" numFmtId="164" xfId="0" applyAlignment="1" applyBorder="1" applyFont="1" applyNumberFormat="1">
      <alignment horizontal="left"/>
    </xf>
    <xf borderId="42" fillId="5" fontId="11" numFmtId="0" xfId="0" applyAlignment="1" applyBorder="1" applyFont="1">
      <alignment horizontal="left"/>
    </xf>
    <xf borderId="42" fillId="5" fontId="10" numFmtId="0" xfId="0" applyAlignment="1" applyBorder="1" applyFont="1">
      <alignment horizontal="left"/>
    </xf>
    <xf borderId="12" fillId="5" fontId="11" numFmtId="0" xfId="0" applyAlignment="1" applyBorder="1" applyFont="1">
      <alignment horizontal="left"/>
    </xf>
    <xf borderId="47" fillId="5" fontId="11" numFmtId="0" xfId="0" applyAlignment="1" applyBorder="1" applyFont="1">
      <alignment horizontal="left"/>
    </xf>
    <xf borderId="42" fillId="5" fontId="10" numFmtId="164" xfId="0" applyAlignment="1" applyBorder="1" applyFont="1" applyNumberFormat="1">
      <alignment horizontal="left"/>
    </xf>
    <xf borderId="46" fillId="0" fontId="12" numFmtId="49" xfId="0" applyBorder="1" applyFont="1" applyNumberFormat="1"/>
    <xf borderId="46" fillId="0" fontId="12" numFmtId="4" xfId="0" applyBorder="1" applyFont="1" applyNumberFormat="1"/>
    <xf borderId="46" fillId="0" fontId="12" numFmtId="168" xfId="0" applyBorder="1" applyFont="1" applyNumberFormat="1"/>
    <xf borderId="12" fillId="5" fontId="13" numFmtId="0" xfId="0" applyAlignment="1" applyBorder="1" applyFont="1">
      <alignment horizontal="left"/>
    </xf>
    <xf borderId="13" fillId="5" fontId="13" numFmtId="164" xfId="0" applyAlignment="1" applyBorder="1" applyFont="1" applyNumberFormat="1">
      <alignment horizontal="left"/>
    </xf>
    <xf borderId="14" fillId="5" fontId="13" numFmtId="164" xfId="0" applyAlignment="1" applyBorder="1" applyFont="1" applyNumberFormat="1">
      <alignment horizontal="left"/>
    </xf>
    <xf borderId="0" fillId="0" fontId="1" numFmtId="169" xfId="0" applyAlignment="1" applyFont="1" applyNumberFormat="1">
      <alignment horizontal="left"/>
    </xf>
    <xf borderId="4" fillId="2" fontId="1" numFmtId="169" xfId="0" applyAlignment="1" applyBorder="1" applyFont="1" applyNumberFormat="1">
      <alignment horizontal="left"/>
    </xf>
    <xf borderId="5" fillId="2" fontId="1" numFmtId="169" xfId="0" applyAlignment="1" applyBorder="1" applyFont="1" applyNumberFormat="1">
      <alignment horizontal="left"/>
    </xf>
    <xf borderId="15" fillId="4" fontId="1" numFmtId="14" xfId="0" applyAlignment="1" applyBorder="1" applyFont="1" applyNumberFormat="1">
      <alignment horizontal="left"/>
    </xf>
    <xf borderId="15" fillId="4" fontId="1" numFmtId="169" xfId="0" applyAlignment="1" applyBorder="1" applyFont="1" applyNumberFormat="1">
      <alignment horizontal="left"/>
    </xf>
    <xf borderId="7" fillId="0" fontId="1" numFmtId="169" xfId="0" applyAlignment="1" applyBorder="1" applyFont="1" applyNumberFormat="1">
      <alignment horizontal="left"/>
    </xf>
    <xf borderId="8" fillId="0" fontId="1" numFmtId="169" xfId="0" applyAlignment="1" applyBorder="1" applyFont="1" applyNumberFormat="1">
      <alignment horizontal="left"/>
    </xf>
    <xf borderId="10" fillId="0" fontId="1" numFmtId="169" xfId="0" applyAlignment="1" applyBorder="1" applyFont="1" applyNumberFormat="1">
      <alignment horizontal="left"/>
    </xf>
    <xf borderId="11" fillId="0" fontId="1" numFmtId="169" xfId="0" applyAlignment="1" applyBorder="1" applyFont="1" applyNumberFormat="1">
      <alignment horizontal="left"/>
    </xf>
    <xf borderId="13" fillId="3" fontId="1" numFmtId="170" xfId="0" applyAlignment="1" applyBorder="1" applyFont="1" applyNumberFormat="1">
      <alignment horizontal="left"/>
    </xf>
    <xf borderId="48" fillId="0" fontId="5" numFmtId="0" xfId="0" applyBorder="1" applyFont="1"/>
    <xf borderId="13" fillId="5" fontId="4" numFmtId="169" xfId="0" applyAlignment="1" applyBorder="1" applyFont="1" applyNumberFormat="1">
      <alignment horizontal="center" shrinkToFit="0" vertical="center" wrapText="1"/>
    </xf>
    <xf borderId="14" fillId="5" fontId="4" numFmtId="169" xfId="0" applyAlignment="1" applyBorder="1" applyFont="1" applyNumberFormat="1">
      <alignment horizontal="left" shrinkToFit="0" vertical="center" wrapText="1"/>
    </xf>
    <xf borderId="15" fillId="4" fontId="4" numFmtId="0" xfId="0" applyAlignment="1" applyBorder="1" applyFont="1">
      <alignment horizontal="left" shrinkToFit="0" vertical="center" wrapText="1"/>
    </xf>
    <xf borderId="25" fillId="0" fontId="1" numFmtId="171" xfId="0" applyAlignment="1" applyBorder="1" applyFont="1" applyNumberFormat="1">
      <alignment horizontal="left"/>
    </xf>
    <xf borderId="49" fillId="0" fontId="1" numFmtId="0" xfId="0" applyAlignment="1" applyBorder="1" applyFont="1">
      <alignment horizontal="left"/>
    </xf>
    <xf borderId="0" fillId="0" fontId="2" numFmtId="171" xfId="0" applyAlignment="1" applyFont="1" applyNumberFormat="1">
      <alignment horizontal="left"/>
    </xf>
    <xf borderId="34" fillId="0" fontId="2" numFmtId="0" xfId="0" applyAlignment="1" applyBorder="1" applyFont="1">
      <alignment horizontal="left"/>
    </xf>
    <xf borderId="0" fillId="0" fontId="8" numFmtId="169" xfId="0" applyAlignment="1" applyFont="1" applyNumberFormat="1">
      <alignment horizontal="left"/>
    </xf>
    <xf borderId="12" fillId="4" fontId="1" numFmtId="169" xfId="0" applyAlignment="1" applyBorder="1" applyFont="1" applyNumberFormat="1">
      <alignment horizontal="left"/>
    </xf>
    <xf borderId="14" fillId="4" fontId="1" numFmtId="169" xfId="0" applyAlignment="1" applyBorder="1" applyFont="1" applyNumberFormat="1">
      <alignment horizontal="left"/>
    </xf>
    <xf borderId="16" fillId="0" fontId="1" numFmtId="169" xfId="0" applyAlignment="1" applyBorder="1" applyFont="1" applyNumberFormat="1">
      <alignment horizontal="left"/>
    </xf>
    <xf borderId="17" fillId="0" fontId="8" numFmtId="169" xfId="0" applyAlignment="1" applyBorder="1" applyFont="1" applyNumberFormat="1">
      <alignment horizontal="left"/>
    </xf>
    <xf borderId="38" fillId="5" fontId="2" numFmtId="169" xfId="0" applyAlignment="1" applyBorder="1" applyFont="1" applyNumberFormat="1">
      <alignment horizontal="left"/>
    </xf>
    <xf borderId="40" fillId="4" fontId="1" numFmtId="169" xfId="0" applyAlignment="1" applyBorder="1" applyFont="1" applyNumberFormat="1">
      <alignment horizontal="left"/>
    </xf>
    <xf borderId="5" fillId="4" fontId="1" numFmtId="169" xfId="0" applyAlignment="1" applyBorder="1" applyFont="1" applyNumberFormat="1">
      <alignment horizontal="left"/>
    </xf>
    <xf borderId="3" fillId="0" fontId="1" numFmtId="169" xfId="0" applyAlignment="1" applyBorder="1" applyFont="1" applyNumberFormat="1">
      <alignment horizontal="left"/>
    </xf>
    <xf borderId="34" fillId="0" fontId="14" numFmtId="169" xfId="0" applyAlignment="1" applyBorder="1" applyFont="1" applyNumberFormat="1">
      <alignment horizontal="left"/>
    </xf>
    <xf borderId="42" fillId="5" fontId="2" numFmtId="169" xfId="0" applyAlignment="1" applyBorder="1" applyFont="1" applyNumberFormat="1">
      <alignment horizontal="left"/>
    </xf>
    <xf borderId="45" fillId="4" fontId="10" numFmtId="169" xfId="0" applyAlignment="1" applyBorder="1" applyFont="1" applyNumberFormat="1">
      <alignment horizontal="left"/>
    </xf>
    <xf borderId="46" fillId="0" fontId="1" numFmtId="169" xfId="0" applyAlignment="1" applyBorder="1" applyFont="1" applyNumberFormat="1">
      <alignment horizontal="left"/>
    </xf>
    <xf borderId="45" fillId="4" fontId="2" numFmtId="172" xfId="0" applyAlignment="1" applyBorder="1" applyFont="1" applyNumberFormat="1">
      <alignment horizontal="left"/>
    </xf>
    <xf borderId="45" fillId="4" fontId="2" numFmtId="169" xfId="0" applyAlignment="1" applyBorder="1" applyFont="1" applyNumberFormat="1">
      <alignment horizontal="left"/>
    </xf>
    <xf borderId="16" fillId="0" fontId="8" numFmtId="169" xfId="0" applyAlignment="1" applyBorder="1" applyFont="1" applyNumberFormat="1">
      <alignment horizontal="left"/>
    </xf>
    <xf borderId="42" fillId="0" fontId="8" numFmtId="169" xfId="0" applyAlignment="1" applyBorder="1" applyFont="1" applyNumberFormat="1">
      <alignment horizontal="left"/>
    </xf>
    <xf borderId="42" fillId="5" fontId="10" numFmtId="169" xfId="0" applyAlignment="1" applyBorder="1" applyFont="1" applyNumberFormat="1">
      <alignment horizontal="left"/>
    </xf>
    <xf borderId="12" fillId="5" fontId="15" numFmtId="0" xfId="0" applyAlignment="1" applyBorder="1" applyFont="1">
      <alignment horizontal="left"/>
    </xf>
    <xf borderId="13" fillId="5" fontId="15" numFmtId="169" xfId="0" applyAlignment="1" applyBorder="1" applyFont="1" applyNumberFormat="1">
      <alignment horizontal="left"/>
    </xf>
    <xf borderId="14" fillId="5" fontId="15" numFmtId="169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33675" cy="2114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33675" cy="16478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7.25"/>
    <col customWidth="1" min="3" max="3" width="21.0"/>
    <col customWidth="1" min="4" max="4" width="9.88"/>
    <col customWidth="1" min="5" max="6" width="18.13"/>
    <col customWidth="1" min="7" max="7" width="10.88"/>
    <col customWidth="1" min="8" max="8" width="14.38"/>
    <col customWidth="1" min="9" max="9" width="15.13"/>
    <col customWidth="1" min="10" max="10" width="17.75"/>
    <col customWidth="1" min="11" max="11" width="20.5"/>
    <col customWidth="1" min="12" max="12" width="15.5"/>
    <col customWidth="1" min="13" max="26" width="8.0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3"/>
      <c r="B3" s="1"/>
      <c r="C3" s="1"/>
      <c r="D3" s="1"/>
      <c r="E3" s="4" t="s">
        <v>0</v>
      </c>
      <c r="F3" s="5"/>
      <c r="G3" s="6"/>
      <c r="H3" s="1"/>
      <c r="I3" s="7" t="s">
        <v>1</v>
      </c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1"/>
      <c r="C4" s="1"/>
      <c r="D4" s="1"/>
      <c r="E4" s="9" t="s">
        <v>2</v>
      </c>
      <c r="F4" s="10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1"/>
      <c r="C5" s="1"/>
      <c r="D5" s="1"/>
      <c r="E5" s="4" t="s">
        <v>3</v>
      </c>
      <c r="F5" s="5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1"/>
      <c r="C6" s="1"/>
      <c r="D6" s="1"/>
      <c r="E6" s="1"/>
      <c r="F6" s="1"/>
      <c r="G6" s="1"/>
      <c r="H6" s="1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/>
      <c r="B7" s="1"/>
      <c r="C7" s="1"/>
      <c r="D7" s="1"/>
      <c r="E7" s="12" t="s">
        <v>4</v>
      </c>
      <c r="F7" s="13"/>
      <c r="G7" s="14"/>
      <c r="H7" s="1"/>
      <c r="I7" s="12" t="s">
        <v>5</v>
      </c>
      <c r="J7" s="13"/>
      <c r="K7" s="1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1"/>
      <c r="C8" s="1"/>
      <c r="D8" s="1"/>
      <c r="E8" s="16"/>
      <c r="F8" s="17"/>
      <c r="G8" s="18"/>
      <c r="H8" s="1"/>
      <c r="I8" s="19"/>
      <c r="J8" s="17"/>
      <c r="K8" s="2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1"/>
      <c r="C11" s="1"/>
      <c r="D11" s="1"/>
      <c r="E11" s="1"/>
      <c r="F11" s="1"/>
      <c r="G11" s="1"/>
      <c r="H11" s="1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21" t="s">
        <v>6</v>
      </c>
      <c r="B12" s="22"/>
      <c r="C12" s="23"/>
      <c r="D12" s="24"/>
      <c r="E12" s="25"/>
      <c r="F12" s="25"/>
      <c r="G12" s="1"/>
      <c r="H12" s="1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4.75" customHeight="1">
      <c r="A13" s="26" t="s">
        <v>7</v>
      </c>
      <c r="B13" s="26" t="s">
        <v>8</v>
      </c>
      <c r="C13" s="27" t="s">
        <v>9</v>
      </c>
      <c r="D13" s="28"/>
      <c r="E13" s="29" t="s">
        <v>10</v>
      </c>
      <c r="F13" s="27" t="s">
        <v>11</v>
      </c>
      <c r="G13" s="28"/>
      <c r="H13" s="30"/>
      <c r="I13" s="31"/>
      <c r="J13" s="32" t="s">
        <v>12</v>
      </c>
      <c r="K13" s="1"/>
      <c r="L13" s="1"/>
      <c r="M13" s="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1.0" customHeight="1">
      <c r="A14" s="34"/>
      <c r="B14" s="35"/>
      <c r="C14" s="36"/>
      <c r="D14" s="37"/>
      <c r="E14" s="38"/>
      <c r="F14" s="39"/>
      <c r="G14" s="40"/>
      <c r="H14" s="41"/>
      <c r="I14" s="42"/>
      <c r="J14" s="43">
        <f t="shared" ref="J14:J19" si="1">SUM(H14:I14)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34"/>
      <c r="B15" s="35"/>
      <c r="C15" s="36"/>
      <c r="D15" s="37"/>
      <c r="E15" s="38"/>
      <c r="F15" s="39"/>
      <c r="G15" s="40"/>
      <c r="H15" s="41"/>
      <c r="I15" s="42"/>
      <c r="J15" s="43">
        <f t="shared" si="1"/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34"/>
      <c r="B16" s="35"/>
      <c r="C16" s="36"/>
      <c r="D16" s="37"/>
      <c r="E16" s="38"/>
      <c r="F16" s="39"/>
      <c r="G16" s="40"/>
      <c r="H16" s="41"/>
      <c r="I16" s="42"/>
      <c r="J16" s="43">
        <f t="shared" si="1"/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34"/>
      <c r="B17" s="35"/>
      <c r="C17" s="36"/>
      <c r="D17" s="37"/>
      <c r="E17" s="38"/>
      <c r="F17" s="39"/>
      <c r="G17" s="40"/>
      <c r="H17" s="41"/>
      <c r="I17" s="42"/>
      <c r="J17" s="43">
        <f t="shared" si="1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34"/>
      <c r="B18" s="35"/>
      <c r="C18" s="36"/>
      <c r="D18" s="37"/>
      <c r="E18" s="38"/>
      <c r="F18" s="39"/>
      <c r="G18" s="40"/>
      <c r="H18" s="41"/>
      <c r="I18" s="42"/>
      <c r="J18" s="43">
        <f t="shared" si="1"/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44"/>
      <c r="B19" s="45"/>
      <c r="C19" s="46"/>
      <c r="D19" s="47"/>
      <c r="E19" s="48"/>
      <c r="F19" s="49"/>
      <c r="G19" s="50"/>
      <c r="H19" s="51"/>
      <c r="I19" s="52"/>
      <c r="J19" s="53">
        <f t="shared" si="1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1"/>
      <c r="C20" s="1"/>
      <c r="D20" s="1"/>
      <c r="E20" s="1"/>
      <c r="F20" s="1"/>
      <c r="G20" s="1"/>
      <c r="H20" s="1"/>
      <c r="I20" s="54"/>
      <c r="J20" s="55">
        <f>SUM(J14:J19)</f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1"/>
      <c r="C21" s="1"/>
      <c r="D21" s="1"/>
      <c r="E21" s="1"/>
      <c r="F21" s="1"/>
      <c r="G21" s="1"/>
      <c r="H21" s="1"/>
      <c r="I21" s="54"/>
      <c r="J21" s="5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57" t="s">
        <v>13</v>
      </c>
      <c r="J22" s="58" t="str">
        <f>J3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1"/>
      <c r="B23" s="1"/>
      <c r="C23" s="1"/>
      <c r="D23" s="1"/>
      <c r="E23" s="1"/>
      <c r="F23" s="1"/>
      <c r="G23" s="1"/>
      <c r="H23" s="1"/>
      <c r="I23" s="54"/>
      <c r="J23" s="5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1"/>
      <c r="C24" s="1"/>
      <c r="D24" s="1"/>
      <c r="E24" s="1"/>
      <c r="F24" s="1"/>
      <c r="G24" s="1"/>
      <c r="H24" s="1"/>
      <c r="I24" s="59" t="s">
        <v>14</v>
      </c>
      <c r="J24" s="60">
        <f>SUM(J20*J22)</f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21" t="s">
        <v>15</v>
      </c>
      <c r="B25" s="61"/>
      <c r="C25" s="1"/>
      <c r="D25" s="1"/>
      <c r="E25" s="1"/>
      <c r="F25" s="1"/>
      <c r="G25" s="1"/>
      <c r="H25" s="1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62"/>
      <c r="B26" s="63"/>
      <c r="C26" s="64" t="s">
        <v>16</v>
      </c>
      <c r="D26" s="63"/>
      <c r="E26" s="63"/>
      <c r="F26" s="63"/>
      <c r="G26" s="63"/>
      <c r="H26" s="65"/>
      <c r="I26" s="66" t="s">
        <v>17</v>
      </c>
      <c r="J26" s="66" t="s">
        <v>18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67"/>
      <c r="B27" s="68"/>
      <c r="C27" s="69"/>
      <c r="D27" s="68"/>
      <c r="E27" s="68"/>
      <c r="F27" s="68"/>
      <c r="G27" s="68"/>
      <c r="H27" s="70"/>
      <c r="I27" s="71"/>
      <c r="J27" s="7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67"/>
      <c r="B28" s="68"/>
      <c r="C28" s="69"/>
      <c r="D28" s="68"/>
      <c r="E28" s="68"/>
      <c r="F28" s="68"/>
      <c r="G28" s="68"/>
      <c r="H28" s="68"/>
      <c r="I28" s="71"/>
      <c r="J28" s="7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67"/>
      <c r="B29" s="68"/>
      <c r="C29" s="69"/>
      <c r="D29" s="68"/>
      <c r="E29" s="68"/>
      <c r="F29" s="68"/>
      <c r="G29" s="68"/>
      <c r="H29" s="68"/>
      <c r="I29" s="71"/>
      <c r="J29" s="7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67"/>
      <c r="B30" s="68"/>
      <c r="C30" s="69"/>
      <c r="D30" s="68"/>
      <c r="E30" s="68"/>
      <c r="F30" s="68"/>
      <c r="G30" s="68"/>
      <c r="H30" s="68"/>
      <c r="I30" s="71"/>
      <c r="J30" s="7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4"/>
      <c r="B31" s="5"/>
      <c r="C31" s="5"/>
      <c r="D31" s="5"/>
      <c r="E31" s="5"/>
      <c r="F31" s="5"/>
      <c r="G31" s="5"/>
      <c r="H31" s="5"/>
      <c r="I31" s="73"/>
      <c r="J31" s="7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1"/>
      <c r="C32" s="1"/>
      <c r="D32" s="1"/>
      <c r="E32" s="1"/>
      <c r="F32" s="1"/>
      <c r="G32" s="1"/>
      <c r="H32" s="75"/>
      <c r="I32" s="76" t="s">
        <v>19</v>
      </c>
      <c r="J32" s="76">
        <f>SUM(J27:J31)</f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56"/>
      <c r="J33" s="5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21" t="s">
        <v>20</v>
      </c>
      <c r="B35" s="61"/>
      <c r="C35" s="77"/>
      <c r="D35" s="1"/>
      <c r="E35" s="77"/>
      <c r="F35" s="25"/>
      <c r="G35" s="1"/>
      <c r="H35" s="1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78"/>
      <c r="B36" s="79"/>
      <c r="C36" s="80" t="s">
        <v>16</v>
      </c>
      <c r="D36" s="79"/>
      <c r="E36" s="79"/>
      <c r="F36" s="79"/>
      <c r="G36" s="79"/>
      <c r="H36" s="81"/>
      <c r="I36" s="82" t="s">
        <v>17</v>
      </c>
      <c r="J36" s="82" t="s">
        <v>18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83"/>
      <c r="B37" s="84"/>
      <c r="C37" s="85"/>
      <c r="D37" s="85"/>
      <c r="E37" s="85"/>
      <c r="F37" s="85"/>
      <c r="G37" s="85"/>
      <c r="H37" s="86"/>
      <c r="I37" s="87"/>
      <c r="J37" s="8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83"/>
      <c r="B38" s="85"/>
      <c r="C38" s="85"/>
      <c r="D38" s="85"/>
      <c r="E38" s="85"/>
      <c r="F38" s="85"/>
      <c r="G38" s="85"/>
      <c r="H38" s="89"/>
      <c r="I38" s="87"/>
      <c r="J38" s="8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83"/>
      <c r="B39" s="85"/>
      <c r="C39" s="85"/>
      <c r="D39" s="85"/>
      <c r="E39" s="85"/>
      <c r="F39" s="85"/>
      <c r="G39" s="85"/>
      <c r="H39" s="90"/>
      <c r="I39" s="87"/>
      <c r="J39" s="8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83"/>
      <c r="B40" s="85"/>
      <c r="C40" s="85"/>
      <c r="D40" s="85"/>
      <c r="E40" s="85"/>
      <c r="F40" s="85"/>
      <c r="G40" s="85"/>
      <c r="H40" s="89"/>
      <c r="I40" s="87"/>
      <c r="J40" s="8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0.25" customHeight="1">
      <c r="A41" s="1"/>
      <c r="B41" s="1"/>
      <c r="C41" s="1"/>
      <c r="D41" s="1"/>
      <c r="E41" s="1"/>
      <c r="F41" s="1"/>
      <c r="G41" s="1"/>
      <c r="H41" s="1"/>
      <c r="I41" s="91" t="s">
        <v>19</v>
      </c>
      <c r="J41" s="92">
        <f>SUM(J37:J40)</f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0.2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0.25" customHeight="1">
      <c r="A43" s="21" t="s">
        <v>21</v>
      </c>
      <c r="B43" s="61"/>
      <c r="C43" s="1"/>
      <c r="D43" s="1"/>
      <c r="E43" s="1"/>
      <c r="F43" s="1"/>
      <c r="G43" s="1"/>
      <c r="H43" s="1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0.25" customHeight="1">
      <c r="A44" s="93" t="s">
        <v>22</v>
      </c>
      <c r="B44" s="94" t="s">
        <v>17</v>
      </c>
      <c r="C44" s="93" t="s">
        <v>23</v>
      </c>
      <c r="D44" s="93" t="s">
        <v>24</v>
      </c>
      <c r="E44" s="93" t="s">
        <v>25</v>
      </c>
      <c r="F44" s="93" t="s">
        <v>26</v>
      </c>
      <c r="G44" s="93" t="s">
        <v>27</v>
      </c>
      <c r="H44" s="95" t="s">
        <v>28</v>
      </c>
      <c r="I44" s="96" t="s">
        <v>29</v>
      </c>
      <c r="J44" s="97" t="s">
        <v>18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0.25" customHeight="1">
      <c r="A45" s="98"/>
      <c r="B45" s="98"/>
      <c r="C45" s="98"/>
      <c r="D45" s="98"/>
      <c r="E45" s="98"/>
      <c r="F45" s="99"/>
      <c r="G45" s="98"/>
      <c r="H45" s="100"/>
      <c r="I45" s="98"/>
      <c r="J45" s="9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0.25" customHeight="1">
      <c r="A46" s="1"/>
      <c r="B46" s="1"/>
      <c r="C46" s="1"/>
      <c r="D46" s="1"/>
      <c r="E46" s="1"/>
      <c r="F46" s="1"/>
      <c r="G46" s="1"/>
      <c r="H46" s="1"/>
      <c r="I46" s="91" t="s">
        <v>19</v>
      </c>
      <c r="J46" s="92">
        <f>SUM(J45)</f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0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1"/>
      <c r="B50" s="1"/>
      <c r="C50" s="1"/>
      <c r="D50" s="1"/>
      <c r="E50" s="1"/>
      <c r="F50" s="1"/>
      <c r="G50" s="1"/>
      <c r="H50" s="101" t="s">
        <v>30</v>
      </c>
      <c r="I50" s="102"/>
      <c r="J50" s="103">
        <f>SUM((J24+J32)-J41-J46)</f>
        <v>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0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0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21.0" customHeight="1">
      <c r="A1001" s="1"/>
      <c r="B1001" s="1"/>
      <c r="C1001" s="1"/>
      <c r="D1001" s="1"/>
      <c r="E1001" s="1"/>
      <c r="F1001" s="1"/>
      <c r="G1001" s="1"/>
      <c r="H1001" s="1"/>
      <c r="I1001" s="2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21.0" customHeight="1">
      <c r="A1002" s="1"/>
      <c r="B1002" s="1"/>
      <c r="C1002" s="1"/>
      <c r="D1002" s="1"/>
      <c r="E1002" s="1"/>
      <c r="F1002" s="1"/>
      <c r="G1002" s="1"/>
      <c r="H1002" s="1"/>
      <c r="I1002" s="2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21.0" customHeight="1">
      <c r="A1003" s="1"/>
      <c r="B1003" s="1"/>
      <c r="C1003" s="1"/>
      <c r="D1003" s="1"/>
      <c r="E1003" s="1"/>
      <c r="F1003" s="1"/>
      <c r="G1003" s="1"/>
      <c r="H1003" s="1"/>
      <c r="I1003" s="2"/>
      <c r="J1003" s="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2">
    <mergeCell ref="C13:D13"/>
    <mergeCell ref="F13:G13"/>
  </mergeCells>
  <printOptions/>
  <pageMargins bottom="0.75" footer="0.0" header="0.0" left="0.7" right="0.7" top="0.75"/>
  <pageSetup orientation="portrait"/>
  <colBreaks count="1" manualBreakCount="1">
    <brk id="16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7.25"/>
    <col customWidth="1" min="3" max="3" width="21.0"/>
    <col customWidth="1" min="4" max="4" width="9.88"/>
    <col customWidth="1" min="5" max="6" width="18.13"/>
    <col customWidth="1" min="7" max="7" width="10.88"/>
    <col customWidth="1" min="8" max="8" width="14.38"/>
    <col customWidth="1" min="9" max="9" width="15.13"/>
    <col customWidth="1" min="10" max="10" width="17.75"/>
    <col customWidth="1" min="11" max="11" width="20.5"/>
    <col customWidth="1" min="12" max="12" width="15.5"/>
    <col customWidth="1" min="13" max="26" width="7.63"/>
  </cols>
  <sheetData>
    <row r="1">
      <c r="A1" s="1"/>
      <c r="B1" s="1"/>
      <c r="C1" s="1"/>
      <c r="D1" s="1"/>
      <c r="E1" s="1"/>
      <c r="F1" s="1"/>
      <c r="G1" s="1"/>
      <c r="H1" s="1"/>
      <c r="I1" s="104"/>
      <c r="J1" s="104"/>
      <c r="K1" s="1"/>
      <c r="L1" s="1"/>
    </row>
    <row r="2">
      <c r="A2" s="1"/>
      <c r="B2" s="1"/>
      <c r="C2" s="1"/>
      <c r="D2" s="1"/>
      <c r="E2" s="1"/>
      <c r="F2" s="1"/>
      <c r="G2" s="1"/>
      <c r="H2" s="1"/>
      <c r="I2" s="104"/>
      <c r="J2" s="104"/>
      <c r="K2" s="1"/>
      <c r="L2" s="1"/>
    </row>
    <row r="3">
      <c r="A3" s="3"/>
      <c r="B3" s="1"/>
      <c r="C3" s="1"/>
      <c r="D3" s="1"/>
      <c r="E3" s="4" t="s">
        <v>0</v>
      </c>
      <c r="F3" s="5">
        <v>23109.0</v>
      </c>
      <c r="G3" s="6"/>
      <c r="H3" s="1"/>
      <c r="I3" s="105" t="s">
        <v>1</v>
      </c>
      <c r="J3" s="106" t="s">
        <v>31</v>
      </c>
      <c r="K3" s="107"/>
      <c r="L3" s="1"/>
    </row>
    <row r="4">
      <c r="A4" s="1"/>
      <c r="B4" s="1"/>
      <c r="C4" s="1"/>
      <c r="D4" s="1"/>
      <c r="E4" s="9" t="s">
        <v>2</v>
      </c>
      <c r="F4" s="10" t="s">
        <v>32</v>
      </c>
      <c r="G4" s="11"/>
      <c r="H4" s="1"/>
      <c r="I4" s="108"/>
      <c r="J4" s="108"/>
      <c r="K4" s="25"/>
      <c r="L4" s="1"/>
    </row>
    <row r="5">
      <c r="A5" s="1"/>
      <c r="B5" s="1"/>
      <c r="C5" s="1"/>
      <c r="D5" s="1"/>
      <c r="E5" s="4" t="s">
        <v>3</v>
      </c>
      <c r="F5" s="5" t="s">
        <v>33</v>
      </c>
      <c r="G5" s="6"/>
      <c r="H5" s="1"/>
      <c r="I5" s="108"/>
      <c r="J5" s="108"/>
      <c r="K5" s="25"/>
      <c r="L5" s="1"/>
    </row>
    <row r="6">
      <c r="A6" s="1"/>
      <c r="B6" s="1"/>
      <c r="C6" s="1"/>
      <c r="D6" s="1"/>
      <c r="E6" s="1"/>
      <c r="F6" s="1"/>
      <c r="G6" s="1"/>
      <c r="H6" s="1"/>
      <c r="I6" s="104"/>
      <c r="J6" s="104"/>
      <c r="K6" s="1"/>
      <c r="L6" s="1"/>
    </row>
    <row r="7">
      <c r="A7" s="1"/>
      <c r="B7" s="1"/>
      <c r="C7" s="1"/>
      <c r="D7" s="1"/>
      <c r="E7" s="12" t="s">
        <v>4</v>
      </c>
      <c r="F7" s="109" t="s">
        <v>34</v>
      </c>
      <c r="G7" s="14"/>
      <c r="H7" s="1"/>
      <c r="I7" s="12" t="s">
        <v>5</v>
      </c>
      <c r="J7" s="109" t="s">
        <v>35</v>
      </c>
      <c r="K7" s="110"/>
      <c r="L7" s="1"/>
    </row>
    <row r="8">
      <c r="A8" s="1"/>
      <c r="B8" s="1"/>
      <c r="C8" s="1"/>
      <c r="D8" s="1"/>
      <c r="E8" s="16"/>
      <c r="F8" s="111"/>
      <c r="G8" s="18"/>
      <c r="H8" s="1"/>
      <c r="I8" s="19"/>
      <c r="J8" s="111"/>
      <c r="K8" s="112"/>
      <c r="L8" s="1"/>
    </row>
    <row r="9">
      <c r="A9" s="1"/>
      <c r="B9" s="1"/>
      <c r="C9" s="1"/>
      <c r="D9" s="1"/>
      <c r="E9" s="1"/>
      <c r="F9" s="1"/>
      <c r="G9" s="1"/>
      <c r="H9" s="1"/>
      <c r="I9" s="104"/>
      <c r="J9" s="104"/>
      <c r="K9" s="1"/>
      <c r="L9" s="1"/>
    </row>
    <row r="10">
      <c r="A10" s="1"/>
      <c r="B10" s="1"/>
      <c r="C10" s="1"/>
      <c r="D10" s="1"/>
      <c r="E10" s="1"/>
      <c r="F10" s="1"/>
      <c r="G10" s="1"/>
      <c r="H10" s="1"/>
      <c r="I10" s="108"/>
      <c r="J10" s="108"/>
      <c r="K10" s="25"/>
      <c r="L10" s="1"/>
    </row>
    <row r="11" ht="21.75" customHeight="1">
      <c r="A11" s="1"/>
      <c r="B11" s="1"/>
      <c r="C11" s="1"/>
      <c r="D11" s="1"/>
      <c r="E11" s="1"/>
      <c r="F11" s="1"/>
      <c r="G11" s="1"/>
      <c r="H11" s="1"/>
      <c r="I11" s="104"/>
      <c r="J11" s="104"/>
      <c r="K11" s="1"/>
      <c r="L11" s="1"/>
    </row>
    <row r="12" ht="21.75" customHeight="1">
      <c r="A12" s="21" t="s">
        <v>6</v>
      </c>
      <c r="B12" s="22" t="s">
        <v>36</v>
      </c>
      <c r="C12" s="113"/>
      <c r="D12" s="24"/>
      <c r="E12" s="25"/>
      <c r="F12" s="25"/>
      <c r="G12" s="1"/>
      <c r="H12" s="1"/>
      <c r="I12" s="104"/>
      <c r="J12" s="104"/>
      <c r="K12" s="1"/>
      <c r="L12" s="1"/>
    </row>
    <row r="13" ht="54.75" customHeight="1">
      <c r="A13" s="26" t="s">
        <v>7</v>
      </c>
      <c r="B13" s="26" t="s">
        <v>8</v>
      </c>
      <c r="C13" s="27" t="s">
        <v>9</v>
      </c>
      <c r="D13" s="114"/>
      <c r="E13" s="29" t="s">
        <v>10</v>
      </c>
      <c r="F13" s="27" t="s">
        <v>11</v>
      </c>
      <c r="G13" s="114"/>
      <c r="H13" s="30"/>
      <c r="I13" s="115"/>
      <c r="J13" s="116" t="s">
        <v>12</v>
      </c>
      <c r="K13" s="117"/>
      <c r="L13" s="33"/>
    </row>
    <row r="14" ht="21.75" customHeight="1">
      <c r="A14" s="34" t="s">
        <v>37</v>
      </c>
      <c r="B14" s="35" t="s">
        <v>38</v>
      </c>
      <c r="C14" s="36" t="s">
        <v>39</v>
      </c>
      <c r="D14" s="37" t="s">
        <v>40</v>
      </c>
      <c r="E14" s="38" t="s">
        <v>41</v>
      </c>
      <c r="F14" s="39" t="s">
        <v>42</v>
      </c>
      <c r="G14" s="40" t="s">
        <v>43</v>
      </c>
      <c r="H14" s="41"/>
      <c r="I14" s="118"/>
      <c r="J14" s="119">
        <v>610.0</v>
      </c>
      <c r="K14" s="1"/>
      <c r="L14" s="1"/>
    </row>
    <row r="15" ht="21.75" customHeight="1">
      <c r="A15" s="34" t="s">
        <v>44</v>
      </c>
      <c r="B15" s="35" t="s">
        <v>45</v>
      </c>
      <c r="C15" s="36" t="s">
        <v>46</v>
      </c>
      <c r="D15" s="37" t="s">
        <v>47</v>
      </c>
      <c r="E15" s="38" t="s">
        <v>48</v>
      </c>
      <c r="F15" s="39" t="s">
        <v>49</v>
      </c>
      <c r="G15" s="40" t="s">
        <v>43</v>
      </c>
      <c r="H15" s="41"/>
      <c r="I15" s="118"/>
      <c r="J15" s="119">
        <v>909.0</v>
      </c>
      <c r="K15" s="1"/>
      <c r="L15" s="1"/>
    </row>
    <row r="16">
      <c r="A16" s="34"/>
      <c r="B16" s="35"/>
      <c r="C16" s="36"/>
      <c r="D16" s="37"/>
      <c r="E16" s="38"/>
      <c r="F16" s="39"/>
      <c r="G16" s="40"/>
      <c r="H16" s="41"/>
      <c r="I16" s="118"/>
      <c r="J16" s="119"/>
      <c r="K16" s="1"/>
      <c r="L16" s="1"/>
    </row>
    <row r="17" ht="21.75" customHeight="1">
      <c r="A17" s="1"/>
      <c r="B17" s="1"/>
      <c r="C17" s="1"/>
      <c r="D17" s="1"/>
      <c r="E17" s="1"/>
      <c r="F17" s="1"/>
      <c r="G17" s="1"/>
      <c r="H17" s="1"/>
      <c r="I17" s="120"/>
      <c r="J17" s="121"/>
      <c r="K17" s="1"/>
      <c r="L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20"/>
      <c r="J18" s="122"/>
      <c r="K18" s="1"/>
      <c r="L18" s="1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23"/>
      <c r="J19" s="124"/>
      <c r="K19" s="1"/>
      <c r="L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20"/>
      <c r="J20" s="122"/>
      <c r="K20" s="1"/>
      <c r="L20" s="1"/>
    </row>
    <row r="21" ht="21.75" customHeight="1">
      <c r="A21" s="1"/>
      <c r="B21" s="1"/>
      <c r="C21" s="1"/>
      <c r="D21" s="1"/>
      <c r="E21" s="1"/>
      <c r="F21" s="1"/>
      <c r="G21" s="1"/>
      <c r="H21" s="1"/>
      <c r="I21" s="125" t="s">
        <v>14</v>
      </c>
      <c r="J21" s="126">
        <f>SUM(J17*J19)</f>
        <v>0</v>
      </c>
      <c r="K21" s="1"/>
      <c r="L21" s="1"/>
    </row>
    <row r="22" ht="21.75" customHeight="1">
      <c r="A22" s="21" t="s">
        <v>15</v>
      </c>
      <c r="B22" s="61"/>
      <c r="C22" s="1"/>
      <c r="D22" s="1"/>
      <c r="E22" s="1"/>
      <c r="F22" s="1"/>
      <c r="G22" s="1"/>
      <c r="H22" s="1"/>
      <c r="I22" s="104"/>
      <c r="J22" s="104"/>
      <c r="K22" s="1"/>
      <c r="L22" s="1"/>
    </row>
    <row r="23" ht="22.5" customHeight="1">
      <c r="A23" s="62"/>
      <c r="B23" s="63"/>
      <c r="C23" s="64" t="s">
        <v>16</v>
      </c>
      <c r="D23" s="63"/>
      <c r="E23" s="63"/>
      <c r="F23" s="63"/>
      <c r="G23" s="63"/>
      <c r="H23" s="65"/>
      <c r="I23" s="127" t="s">
        <v>17</v>
      </c>
      <c r="J23" s="127" t="s">
        <v>18</v>
      </c>
      <c r="K23" s="1"/>
      <c r="L23" s="1"/>
    </row>
    <row r="24" ht="22.5" customHeight="1">
      <c r="A24" s="67"/>
      <c r="B24" s="68"/>
      <c r="C24" s="69"/>
      <c r="D24" s="68"/>
      <c r="E24" s="68"/>
      <c r="F24" s="68"/>
      <c r="G24" s="68"/>
      <c r="H24" s="70"/>
      <c r="I24" s="128"/>
      <c r="J24" s="128"/>
      <c r="K24" s="1"/>
      <c r="L24" s="1"/>
    </row>
    <row r="25" ht="22.5" customHeight="1">
      <c r="A25" s="67"/>
      <c r="B25" s="68"/>
      <c r="C25" s="69"/>
      <c r="D25" s="68"/>
      <c r="E25" s="68"/>
      <c r="F25" s="68"/>
      <c r="G25" s="68"/>
      <c r="H25" s="68"/>
      <c r="I25" s="128"/>
      <c r="J25" s="129"/>
      <c r="K25" s="1"/>
      <c r="L25" s="1"/>
    </row>
    <row r="26" ht="22.5" customHeight="1">
      <c r="A26" s="67"/>
      <c r="B26" s="68"/>
      <c r="C26" s="69"/>
      <c r="D26" s="68"/>
      <c r="E26" s="68"/>
      <c r="F26" s="68"/>
      <c r="G26" s="68"/>
      <c r="H26" s="68"/>
      <c r="I26" s="128"/>
      <c r="J26" s="129"/>
      <c r="K26" s="1"/>
      <c r="L26" s="1"/>
    </row>
    <row r="27" ht="22.5" customHeight="1">
      <c r="A27" s="67"/>
      <c r="B27" s="68"/>
      <c r="C27" s="69"/>
      <c r="D27" s="68"/>
      <c r="E27" s="68"/>
      <c r="F27" s="68"/>
      <c r="G27" s="68"/>
      <c r="H27" s="68"/>
      <c r="I27" s="128"/>
      <c r="J27" s="129"/>
      <c r="K27" s="1"/>
      <c r="L27" s="1"/>
    </row>
    <row r="28" ht="15.75" customHeight="1">
      <c r="A28" s="4"/>
      <c r="B28" s="5"/>
      <c r="C28" s="5"/>
      <c r="D28" s="5"/>
      <c r="E28" s="5"/>
      <c r="F28" s="5"/>
      <c r="G28" s="5"/>
      <c r="H28" s="5"/>
      <c r="I28" s="73"/>
      <c r="J28" s="130"/>
      <c r="K28" s="1"/>
      <c r="L28" s="1"/>
    </row>
    <row r="29" ht="21.75" customHeight="1">
      <c r="A29" s="1"/>
      <c r="B29" s="1"/>
      <c r="C29" s="1"/>
      <c r="D29" s="1"/>
      <c r="E29" s="1"/>
      <c r="F29" s="1"/>
      <c r="G29" s="1"/>
      <c r="H29" s="75"/>
      <c r="I29" s="131" t="s">
        <v>19</v>
      </c>
      <c r="J29" s="131">
        <f>SUM(J24:J28)</f>
        <v>0</v>
      </c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22"/>
      <c r="J30" s="122"/>
      <c r="K30" s="1"/>
      <c r="L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04"/>
      <c r="J31" s="104"/>
      <c r="K31" s="1"/>
      <c r="L31" s="1"/>
    </row>
    <row r="32" ht="21.75" customHeight="1">
      <c r="A32" s="21" t="s">
        <v>20</v>
      </c>
      <c r="B32" s="61"/>
      <c r="C32" s="77"/>
      <c r="D32" s="1"/>
      <c r="E32" s="77"/>
      <c r="F32" s="25"/>
      <c r="G32" s="1"/>
      <c r="H32" s="1"/>
      <c r="I32" s="104"/>
      <c r="J32" s="104"/>
      <c r="K32" s="1"/>
      <c r="L32" s="1"/>
    </row>
    <row r="33" ht="22.5" customHeight="1">
      <c r="A33" s="78"/>
      <c r="B33" s="79"/>
      <c r="C33" s="80" t="s">
        <v>16</v>
      </c>
      <c r="D33" s="79"/>
      <c r="E33" s="79"/>
      <c r="F33" s="79"/>
      <c r="G33" s="79"/>
      <c r="H33" s="81"/>
      <c r="I33" s="132" t="s">
        <v>17</v>
      </c>
      <c r="J33" s="132" t="s">
        <v>18</v>
      </c>
      <c r="K33" s="1"/>
      <c r="L33" s="1"/>
    </row>
    <row r="34" ht="21.75" customHeight="1">
      <c r="A34" s="83"/>
      <c r="B34" s="84"/>
      <c r="C34" s="85"/>
      <c r="D34" s="85"/>
      <c r="E34" s="85"/>
      <c r="F34" s="85"/>
      <c r="G34" s="85"/>
      <c r="H34" s="133"/>
      <c r="I34" s="87">
        <v>46020.0</v>
      </c>
      <c r="J34" s="134"/>
      <c r="K34" s="1"/>
      <c r="L34" s="1"/>
    </row>
    <row r="35" ht="15.75" customHeight="1">
      <c r="A35" s="83"/>
      <c r="B35" s="85"/>
      <c r="C35" s="85"/>
      <c r="D35" s="85"/>
      <c r="E35" s="85"/>
      <c r="F35" s="85"/>
      <c r="G35" s="85"/>
      <c r="H35" s="135"/>
      <c r="I35" s="87">
        <v>46020.0</v>
      </c>
      <c r="J35" s="134"/>
      <c r="K35" s="1"/>
      <c r="L35" s="1"/>
    </row>
    <row r="36" ht="21.75" customHeight="1">
      <c r="A36" s="83"/>
      <c r="B36" s="85"/>
      <c r="C36" s="85"/>
      <c r="D36" s="85"/>
      <c r="E36" s="85"/>
      <c r="F36" s="85"/>
      <c r="G36" s="85"/>
      <c r="H36" s="136"/>
      <c r="I36" s="87">
        <v>46020.0</v>
      </c>
      <c r="J36" s="134"/>
      <c r="K36" s="1"/>
      <c r="L36" s="1"/>
    </row>
    <row r="37" ht="21.75" customHeight="1">
      <c r="A37" s="83"/>
      <c r="B37" s="85"/>
      <c r="C37" s="85"/>
      <c r="D37" s="85"/>
      <c r="E37" s="85"/>
      <c r="F37" s="85"/>
      <c r="G37" s="85"/>
      <c r="H37" s="135"/>
      <c r="I37" s="87">
        <v>46020.0</v>
      </c>
      <c r="J37" s="134"/>
      <c r="K37" s="1"/>
      <c r="L37" s="1"/>
    </row>
    <row r="38" ht="20.25" customHeight="1">
      <c r="A38" s="1"/>
      <c r="B38" s="1"/>
      <c r="C38" s="1"/>
      <c r="D38" s="1"/>
      <c r="E38" s="1"/>
      <c r="F38" s="1"/>
      <c r="G38" s="1"/>
      <c r="H38" s="1"/>
      <c r="I38" s="137" t="s">
        <v>19</v>
      </c>
      <c r="J38" s="138">
        <f>SUM(J34:J37)</f>
        <v>0</v>
      </c>
      <c r="K38" s="1"/>
      <c r="L38" s="1"/>
    </row>
    <row r="39" ht="20.25" customHeight="1">
      <c r="A39" s="1"/>
      <c r="B39" s="1"/>
      <c r="C39" s="1"/>
      <c r="D39" s="1"/>
      <c r="E39" s="1"/>
      <c r="F39" s="1"/>
      <c r="G39" s="1"/>
      <c r="H39" s="1"/>
      <c r="I39" s="104"/>
      <c r="J39" s="104"/>
      <c r="K39" s="1"/>
      <c r="L39" s="1"/>
    </row>
    <row r="40" ht="20.25" customHeight="1">
      <c r="A40" s="21" t="s">
        <v>21</v>
      </c>
      <c r="B40" s="61"/>
      <c r="C40" s="1"/>
      <c r="D40" s="1"/>
      <c r="E40" s="1"/>
      <c r="F40" s="1"/>
      <c r="G40" s="1"/>
      <c r="H40" s="1"/>
      <c r="I40" s="104"/>
      <c r="J40" s="104"/>
      <c r="K40" s="1"/>
      <c r="L40" s="1"/>
    </row>
    <row r="41" ht="20.25" customHeight="1">
      <c r="A41" s="93" t="s">
        <v>22</v>
      </c>
      <c r="B41" s="94" t="s">
        <v>17</v>
      </c>
      <c r="C41" s="93" t="s">
        <v>23</v>
      </c>
      <c r="D41" s="93" t="s">
        <v>24</v>
      </c>
      <c r="E41" s="93" t="s">
        <v>25</v>
      </c>
      <c r="F41" s="93" t="s">
        <v>26</v>
      </c>
      <c r="G41" s="93" t="s">
        <v>27</v>
      </c>
      <c r="H41" s="95" t="s">
        <v>28</v>
      </c>
      <c r="I41" s="96" t="s">
        <v>29</v>
      </c>
      <c r="J41" s="139" t="s">
        <v>18</v>
      </c>
      <c r="K41" s="1"/>
      <c r="L41" s="1"/>
    </row>
    <row r="42" ht="20.25" customHeight="1">
      <c r="A42" s="98"/>
      <c r="B42" s="98"/>
      <c r="C42" s="98"/>
      <c r="D42" s="98"/>
      <c r="E42" s="98"/>
      <c r="F42" s="99"/>
      <c r="G42" s="98"/>
      <c r="H42" s="100"/>
      <c r="I42" s="98"/>
      <c r="J42" s="99"/>
      <c r="K42" s="1"/>
      <c r="L42" s="1"/>
    </row>
    <row r="43" ht="20.25" customHeight="1">
      <c r="A43" s="1"/>
      <c r="B43" s="1"/>
      <c r="C43" s="1"/>
      <c r="D43" s="1"/>
      <c r="E43" s="1"/>
      <c r="F43" s="1"/>
      <c r="G43" s="1"/>
      <c r="H43" s="1"/>
      <c r="I43" s="137" t="s">
        <v>19</v>
      </c>
      <c r="J43" s="138">
        <f>SUM(J42)</f>
        <v>0</v>
      </c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04"/>
      <c r="J44" s="104"/>
      <c r="K44" s="1"/>
      <c r="L44" s="104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04"/>
      <c r="J45" s="104"/>
      <c r="K45" s="1"/>
      <c r="L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04"/>
      <c r="J46" s="104"/>
      <c r="K46" s="1"/>
      <c r="L46" s="1"/>
    </row>
    <row r="47" ht="24.0" customHeight="1">
      <c r="A47" s="1"/>
      <c r="B47" s="1"/>
      <c r="C47" s="1"/>
      <c r="D47" s="1"/>
      <c r="E47" s="1"/>
      <c r="F47" s="1"/>
      <c r="G47" s="1"/>
      <c r="H47" s="140" t="s">
        <v>30</v>
      </c>
      <c r="I47" s="141"/>
      <c r="J47" s="142">
        <f>SUM((J21+J29)-J38-J43)</f>
        <v>0</v>
      </c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04"/>
      <c r="J48" s="104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04"/>
      <c r="J49" s="104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04"/>
      <c r="J50" s="104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04"/>
      <c r="J51" s="104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04"/>
      <c r="J52" s="104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04"/>
      <c r="J53" s="104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04"/>
      <c r="J54" s="104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04"/>
      <c r="J55" s="104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04"/>
      <c r="J56" s="104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04"/>
      <c r="J57" s="104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04"/>
      <c r="J58" s="104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04"/>
      <c r="J59" s="104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04"/>
      <c r="J60" s="104"/>
      <c r="K60" s="1"/>
      <c r="L60" s="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3:D13"/>
    <mergeCell ref="F13:G13"/>
  </mergeCells>
  <printOptions horizontalCentered="1"/>
  <pageMargins bottom="0.3" footer="0.0" header="0.0" left="0.2" right="0.2" top="0.3"/>
  <pageSetup paperSize="9" orientation="portrait"/>
  <drawing r:id="rId1"/>
</worksheet>
</file>